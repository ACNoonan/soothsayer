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noonan/Documents/soothsayer/docs/offline-guide/data/"/>
    </mc:Choice>
  </mc:AlternateContent>
  <xr:revisionPtr revIDLastSave="0" documentId="13_ncr:9_{0E3F4876-CD23-E142-A6E1-18B3139DA608}" xr6:coauthVersionLast="47" xr6:coauthVersionMax="47" xr10:uidLastSave="{00000000-0000-0000-0000-000000000000}"/>
  <bookViews>
    <workbookView xWindow="4180" yWindow="1160" windowWidth="24540" windowHeight="16560" xr2:uid="{429A95D5-A8E9-B944-A849-3E865BD30AD7}"/>
  </bookViews>
  <sheets>
    <sheet name="v1_weekend_pai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" l="1"/>
  <c r="T8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P4" i="1" s="1"/>
  <c r="L19" i="1"/>
  <c r="L20" i="1"/>
  <c r="P36" i="1" s="1"/>
  <c r="L21" i="1"/>
  <c r="P28" i="1" s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2" i="1"/>
  <c r="P52" i="1"/>
  <c r="P44" i="1"/>
  <c r="P12" i="1"/>
  <c r="P51" i="1"/>
  <c r="P43" i="1"/>
  <c r="P35" i="1"/>
  <c r="P27" i="1"/>
  <c r="P11" i="1"/>
  <c r="P3" i="1"/>
  <c r="P1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2" i="1"/>
  <c r="T5" i="1" l="1"/>
  <c r="P53" i="1" a="1"/>
  <c r="P53" i="1" s="1"/>
  <c r="P37" i="1" a="1"/>
  <c r="P37" i="1" s="1"/>
  <c r="P20" i="1"/>
  <c r="T3" i="1"/>
  <c r="P45" i="1" a="1"/>
  <c r="P45" i="1" s="1"/>
  <c r="P21" i="1" a="1"/>
  <c r="P21" i="1" s="1"/>
  <c r="P29" i="1" a="1"/>
  <c r="P29" i="1" s="1"/>
  <c r="P13" i="1" a="1"/>
  <c r="P13" i="1" s="1"/>
  <c r="P5" i="1" a="1"/>
  <c r="P5" i="1" s="1"/>
  <c r="T6" i="1"/>
  <c r="T7" i="1" s="1"/>
  <c r="P24" i="1"/>
  <c r="P54" i="1" l="1"/>
  <c r="P55" i="1" s="1"/>
  <c r="P56" i="1"/>
  <c r="P38" i="1"/>
  <c r="P39" i="1" s="1"/>
  <c r="P40" i="1"/>
  <c r="P46" i="1"/>
  <c r="P47" i="1" s="1"/>
  <c r="P48" i="1"/>
  <c r="P30" i="1"/>
  <c r="P31" i="1" s="1"/>
  <c r="P32" i="1"/>
  <c r="P14" i="1"/>
  <c r="P15" i="1" s="1"/>
  <c r="P16" i="1"/>
  <c r="P6" i="1"/>
  <c r="P7" i="1" s="1"/>
  <c r="P8" i="1"/>
  <c r="P22" i="1"/>
  <c r="P2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<sst xmlns="http://schemas.openxmlformats.org/spreadsheetml/2006/main" count="164" uniqueCount="39">
  <si>
    <t>weekend_mon</t>
  </si>
  <si>
    <t>fri_ts</t>
  </si>
  <si>
    <t>gap_days</t>
  </si>
  <si>
    <t>symbol</t>
  </si>
  <si>
    <t>underlying</t>
  </si>
  <si>
    <t>fri_close</t>
  </si>
  <si>
    <t>mon_open</t>
  </si>
  <si>
    <t>cl_mid</t>
  </si>
  <si>
    <t>cl_minutes_before_open</t>
  </si>
  <si>
    <t>AAPLx</t>
  </si>
  <si>
    <t>AAPL</t>
  </si>
  <si>
    <t>GOOGLx</t>
  </si>
  <si>
    <t>GOOGL</t>
  </si>
  <si>
    <t>HOODx</t>
  </si>
  <si>
    <t>HOOD</t>
  </si>
  <si>
    <t>MSTRx</t>
  </si>
  <si>
    <t>MSTR</t>
  </si>
  <si>
    <t>NVDAx</t>
  </si>
  <si>
    <t>NVDA</t>
  </si>
  <si>
    <t>QQQx</t>
  </si>
  <si>
    <t>QQQ</t>
  </si>
  <si>
    <t>SPYx</t>
  </si>
  <si>
    <t>SPY</t>
  </si>
  <si>
    <t>TSLAx</t>
  </si>
  <si>
    <t>TSLA</t>
  </si>
  <si>
    <t>g_T</t>
  </si>
  <si>
    <t>g_hat_CL</t>
  </si>
  <si>
    <t>e_T</t>
  </si>
  <si>
    <t>n</t>
  </si>
  <si>
    <t>mean_bp</t>
  </si>
  <si>
    <t>sd_bp</t>
  </si>
  <si>
    <t>t-stat</t>
  </si>
  <si>
    <t>p-value</t>
  </si>
  <si>
    <t>95% CI half-width (bp)</t>
  </si>
  <si>
    <t>Pooled Stats</t>
  </si>
  <si>
    <t>mean</t>
  </si>
  <si>
    <t>sd</t>
  </si>
  <si>
    <t>t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</si>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</sst>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8" fillId="0" borderId="0" xfId="0" applyFon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07647-67E0-BC43-B982-4053DF7FC12E}">
  <dimension ref="A1:T56"/>
  <sheetViews>
    <sheetView tabSelected="1" workbookViewId="0">
      <selection activeCell="Q9" sqref="Q9"/>
    </sheetView>
  </sheetViews>
  <sheetFormatPr baseColWidth="10" defaultRowHeight="16" x14ac:dyDescent="0.2"/>
  <cols>
    <col min="1" max="1" width="12.6640625" bestFit="1" customWidth="1"/>
    <col min="9" max="9" width="21" bestFit="1" customWidth="1"/>
    <col min="11" max="11" width="12.83203125" bestFit="1" customWidth="1"/>
    <col min="15" max="15" width="19.1640625" bestFit="1" customWidth="1"/>
    <col min="16" max="16" width="12.83203125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25</v>
      </c>
      <c r="K1" t="s">
        <v>26</v>
      </c>
      <c r="L1" t="s">
        <v>27</v>
      </c>
    </row>
    <row r="2" spans="1:20" x14ac:dyDescent="0.2">
      <c r="A2" s="1">
        <v>46062</v>
      </c>
      <c r="B2" s="1">
        <v>46059</v>
      </c>
      <c r="C2">
        <v>3</v>
      </c>
      <c r="D2" t="s">
        <v>9</v>
      </c>
      <c r="E2" t="s">
        <v>10</v>
      </c>
      <c r="F2">
        <v>278.11999511718699</v>
      </c>
      <c r="G2">
        <v>277.91000366210898</v>
      </c>
      <c r="H2">
        <v>278</v>
      </c>
      <c r="I2">
        <v>0.8</v>
      </c>
      <c r="J2">
        <f>LN(G2/F2)</f>
        <v>-7.5532422898994781E-4</v>
      </c>
      <c r="K2">
        <f>LN(H2/F2)</f>
        <v>-4.3154398368266874E-4</v>
      </c>
      <c r="L2">
        <f>(J2-K2)</f>
        <v>-3.2378024530727907E-4</v>
      </c>
      <c r="O2" s="3" t="s">
        <v>9</v>
      </c>
      <c r="P2" s="3"/>
      <c r="S2" s="3" t="s">
        <v>34</v>
      </c>
      <c r="T2" s="3"/>
    </row>
    <row r="3" spans="1:20" x14ac:dyDescent="0.2">
      <c r="A3" s="1">
        <v>46062</v>
      </c>
      <c r="B3" s="1">
        <v>46059</v>
      </c>
      <c r="C3">
        <v>3</v>
      </c>
      <c r="D3" t="s">
        <v>11</v>
      </c>
      <c r="E3" t="s">
        <v>12</v>
      </c>
      <c r="F3">
        <v>322.85998535156199</v>
      </c>
      <c r="G3">
        <v>320.92999267578102</v>
      </c>
      <c r="H3">
        <v>323.02999999999997</v>
      </c>
      <c r="I3">
        <v>0.8</v>
      </c>
      <c r="J3">
        <f t="shared" ref="J3:J49" si="0">LN(G3/F3)</f>
        <v>-5.995739366584177E-3</v>
      </c>
      <c r="K3">
        <f t="shared" ref="K3:K49" si="1">LN(H3/F3)</f>
        <v>5.264508080956101E-4</v>
      </c>
      <c r="L3">
        <f t="shared" ref="L3:L49" si="2">(J3-K3)</f>
        <v>-6.5221901746797869E-3</v>
      </c>
      <c r="O3" t="s">
        <v>28</v>
      </c>
      <c r="P3">
        <f>COUNTIF($D$2:$D$49, "AAPLx")</f>
        <v>6</v>
      </c>
      <c r="S3" t="s">
        <v>28</v>
      </c>
      <c r="T3">
        <f>COUNT(L2:L49)</f>
        <v>48</v>
      </c>
    </row>
    <row r="4" spans="1:20" x14ac:dyDescent="0.2">
      <c r="A4" s="1">
        <v>46062</v>
      </c>
      <c r="B4" s="1">
        <v>46059</v>
      </c>
      <c r="C4">
        <v>3</v>
      </c>
      <c r="D4" t="s">
        <v>13</v>
      </c>
      <c r="E4" t="s">
        <v>14</v>
      </c>
      <c r="F4">
        <v>82.819999694824205</v>
      </c>
      <c r="G4">
        <v>84.879997253417898</v>
      </c>
      <c r="H4">
        <v>82.89</v>
      </c>
      <c r="I4">
        <v>1.6666666666666601E-2</v>
      </c>
      <c r="J4">
        <f t="shared" si="0"/>
        <v>2.4568887514700877E-2</v>
      </c>
      <c r="K4">
        <f t="shared" si="1"/>
        <v>8.448531708216459E-4</v>
      </c>
      <c r="L4">
        <f t="shared" si="2"/>
        <v>2.3724034343879232E-2</v>
      </c>
      <c r="O4" t="s">
        <v>29</v>
      </c>
      <c r="P4">
        <f>AVERAGEIF($D$2:$D$49, "AAPLx", L$2:L$49) * 10000</f>
        <v>8.8089104366347506</v>
      </c>
      <c r="S4" t="s">
        <v>35</v>
      </c>
      <c r="T4">
        <f>AVERAGE(L2:L49)</f>
        <v>-4.8299954212601562E-3</v>
      </c>
    </row>
    <row r="5" spans="1:20" x14ac:dyDescent="0.2">
      <c r="A5" s="1">
        <v>46062</v>
      </c>
      <c r="B5" s="1">
        <v>46059</v>
      </c>
      <c r="C5">
        <v>3</v>
      </c>
      <c r="D5" t="s">
        <v>15</v>
      </c>
      <c r="E5" t="s">
        <v>16</v>
      </c>
      <c r="F5">
        <v>134.92999267578099</v>
      </c>
      <c r="G5">
        <v>127.370002746582</v>
      </c>
      <c r="H5">
        <v>134.92500000000001</v>
      </c>
      <c r="I5">
        <v>1.6666666666666601E-2</v>
      </c>
      <c r="J5">
        <f t="shared" si="0"/>
        <v>-5.7659812995600225E-2</v>
      </c>
      <c r="K5">
        <f t="shared" si="1"/>
        <v>-3.7002656367762092E-5</v>
      </c>
      <c r="L5">
        <f t="shared" si="2"/>
        <v>-5.7622810339232465E-2</v>
      </c>
      <c r="O5" t="s">
        <v>30</v>
      </c>
      <c r="P5" cm="1">
        <f t="array" ref="P5">_xlfn.STDEV.S(IF($D$2:$D$49="AAPLx", L$2:L$49)) * 10000</f>
        <v>44.104071127463051</v>
      </c>
      <c r="S5" t="s">
        <v>36</v>
      </c>
      <c r="T5">
        <f>_xlfn.STDEV.S(L2:L49)</f>
        <v>1.4265687412649558E-2</v>
      </c>
    </row>
    <row r="6" spans="1:20" x14ac:dyDescent="0.2">
      <c r="A6" s="1">
        <v>46062</v>
      </c>
      <c r="B6" s="1">
        <v>46059</v>
      </c>
      <c r="C6">
        <v>3</v>
      </c>
      <c r="D6" t="s">
        <v>17</v>
      </c>
      <c r="E6" t="s">
        <v>18</v>
      </c>
      <c r="F6">
        <v>185.41000366210901</v>
      </c>
      <c r="G6">
        <v>184.259994506835</v>
      </c>
      <c r="H6">
        <v>185.41</v>
      </c>
      <c r="I6">
        <v>0.8</v>
      </c>
      <c r="J6">
        <f t="shared" si="0"/>
        <v>-6.2218349924186038E-3</v>
      </c>
      <c r="K6">
        <f t="shared" si="1"/>
        <v>-1.9751410258110468E-8</v>
      </c>
      <c r="L6">
        <f t="shared" si="2"/>
        <v>-6.2218152410083456E-3</v>
      </c>
      <c r="O6" t="s">
        <v>31</v>
      </c>
      <c r="P6">
        <f xml:space="preserve"> P4 / (P5 / SQRT(P3))</f>
        <v>0.4892368257178093</v>
      </c>
      <c r="S6" t="s">
        <v>37</v>
      </c>
      <c r="T6">
        <f xml:space="preserve"> T4 / (T5 / SQRT(48))</f>
        <v>-2.3457117005184283</v>
      </c>
    </row>
    <row r="7" spans="1:20" x14ac:dyDescent="0.2">
      <c r="A7" s="1">
        <v>46062</v>
      </c>
      <c r="B7" s="1">
        <v>46059</v>
      </c>
      <c r="C7">
        <v>3</v>
      </c>
      <c r="D7" t="s">
        <v>19</v>
      </c>
      <c r="E7" t="s">
        <v>20</v>
      </c>
      <c r="F7">
        <v>609.65002441406205</v>
      </c>
      <c r="G7">
        <v>607.53997802734295</v>
      </c>
      <c r="H7">
        <v>610.125</v>
      </c>
      <c r="I7">
        <v>0.51666666666666605</v>
      </c>
      <c r="J7">
        <f t="shared" si="0"/>
        <v>-3.4670815503982E-3</v>
      </c>
      <c r="K7">
        <f t="shared" si="1"/>
        <v>7.7879215500883654E-4</v>
      </c>
      <c r="L7">
        <f t="shared" si="2"/>
        <v>-4.2458737054070364E-3</v>
      </c>
      <c r="O7" t="s">
        <v>32</v>
      </c>
      <c r="P7">
        <f>_xlfn.T.DIST.2T(ABS(P6), P3-1)</f>
        <v>0.64537937046067828</v>
      </c>
      <c r="S7" t="s">
        <v>38</v>
      </c>
      <c r="T7">
        <f>_xlfn.T.DIST.2T(ABS(T6), 47)</f>
        <v>2.3261771968081654E-2</v>
      </c>
    </row>
    <row r="8" spans="1:20" x14ac:dyDescent="0.2">
      <c r="A8" s="1">
        <v>46062</v>
      </c>
      <c r="B8" s="1">
        <v>46059</v>
      </c>
      <c r="C8">
        <v>3</v>
      </c>
      <c r="D8" t="s">
        <v>21</v>
      </c>
      <c r="E8" t="s">
        <v>22</v>
      </c>
      <c r="F8">
        <v>690.61999511718705</v>
      </c>
      <c r="G8">
        <v>689.41998291015602</v>
      </c>
      <c r="H8">
        <v>691.23</v>
      </c>
      <c r="I8">
        <v>0.61666666666666603</v>
      </c>
      <c r="J8">
        <f t="shared" si="0"/>
        <v>-1.7390981835115127E-3</v>
      </c>
      <c r="K8">
        <f t="shared" si="1"/>
        <v>8.8288153503244312E-4</v>
      </c>
      <c r="L8">
        <f t="shared" si="2"/>
        <v>-2.6219797185439561E-3</v>
      </c>
      <c r="O8" t="s">
        <v>33</v>
      </c>
      <c r="P8">
        <f xml:space="preserve"> 1.96 * P5 / SQRT(P3)</f>
        <v>35.290606814955488</v>
      </c>
      <c r="S8" t="s">
        <v>29</v>
      </c>
      <c r="T8">
        <f>T4*10000</f>
        <v>-48.299954212601563</v>
      </c>
    </row>
    <row r="9" spans="1:20" x14ac:dyDescent="0.2">
      <c r="A9" s="1">
        <v>46062</v>
      </c>
      <c r="B9" s="1">
        <v>46059</v>
      </c>
      <c r="C9">
        <v>3</v>
      </c>
      <c r="D9" t="s">
        <v>23</v>
      </c>
      <c r="E9" t="s">
        <v>24</v>
      </c>
      <c r="F9">
        <v>411.10998535156199</v>
      </c>
      <c r="G9">
        <v>409.91000366210898</v>
      </c>
      <c r="H9">
        <v>411.245</v>
      </c>
      <c r="I9">
        <v>0.8</v>
      </c>
      <c r="J9">
        <f t="shared" si="0"/>
        <v>-2.9231506174712948E-3</v>
      </c>
      <c r="K9">
        <f t="shared" si="1"/>
        <v>3.2836099265198013E-4</v>
      </c>
      <c r="L9">
        <f t="shared" si="2"/>
        <v>-3.2515116101232752E-3</v>
      </c>
    </row>
    <row r="10" spans="1:20" x14ac:dyDescent="0.2">
      <c r="A10" s="1">
        <v>46070</v>
      </c>
      <c r="B10" s="1">
        <v>46066</v>
      </c>
      <c r="C10">
        <v>4</v>
      </c>
      <c r="D10" t="s">
        <v>9</v>
      </c>
      <c r="E10" t="s">
        <v>10</v>
      </c>
      <c r="F10">
        <v>255.77999877929599</v>
      </c>
      <c r="G10">
        <v>258.04998779296801</v>
      </c>
      <c r="H10">
        <v>255.755</v>
      </c>
      <c r="I10">
        <v>0.28333333333333299</v>
      </c>
      <c r="J10">
        <f t="shared" si="0"/>
        <v>8.835622057127587E-3</v>
      </c>
      <c r="K10">
        <f t="shared" si="1"/>
        <v>-9.7740249936160658E-5</v>
      </c>
      <c r="L10">
        <f t="shared" si="2"/>
        <v>8.9333623070637479E-3</v>
      </c>
      <c r="O10" s="3" t="s">
        <v>11</v>
      </c>
      <c r="P10" s="3"/>
    </row>
    <row r="11" spans="1:20" x14ac:dyDescent="0.2">
      <c r="A11" s="1">
        <v>46070</v>
      </c>
      <c r="B11" s="1">
        <v>46066</v>
      </c>
      <c r="C11">
        <v>4</v>
      </c>
      <c r="D11" t="s">
        <v>11</v>
      </c>
      <c r="E11" t="s">
        <v>12</v>
      </c>
      <c r="F11">
        <v>305.72000122070301</v>
      </c>
      <c r="G11">
        <v>300.04000854492102</v>
      </c>
      <c r="H11">
        <v>305.414999999999</v>
      </c>
      <c r="I11">
        <v>0.483333333333333</v>
      </c>
      <c r="J11">
        <f t="shared" si="0"/>
        <v>-1.8753826786854545E-2</v>
      </c>
      <c r="K11">
        <f t="shared" si="1"/>
        <v>-9.981468756246508E-4</v>
      </c>
      <c r="L11">
        <f t="shared" si="2"/>
        <v>-1.7755679911229894E-2</v>
      </c>
      <c r="O11" s="2" t="s">
        <v>28</v>
      </c>
      <c r="P11">
        <f>COUNTIF($D$2:$D$49, "GOOGLx")</f>
        <v>6</v>
      </c>
    </row>
    <row r="12" spans="1:20" x14ac:dyDescent="0.2">
      <c r="A12" s="1">
        <v>46070</v>
      </c>
      <c r="B12" s="1">
        <v>46066</v>
      </c>
      <c r="C12">
        <v>4</v>
      </c>
      <c r="D12" t="s">
        <v>13</v>
      </c>
      <c r="E12" t="s">
        <v>14</v>
      </c>
      <c r="F12">
        <v>75.970001220703097</v>
      </c>
      <c r="G12">
        <v>74.339996337890597</v>
      </c>
      <c r="H12">
        <v>75.954999999999998</v>
      </c>
      <c r="I12">
        <v>0.233333333333333</v>
      </c>
      <c r="J12">
        <f t="shared" si="0"/>
        <v>-2.1689425975878477E-2</v>
      </c>
      <c r="K12">
        <f t="shared" si="1"/>
        <v>-1.9748192372971043E-4</v>
      </c>
      <c r="L12">
        <f t="shared" si="2"/>
        <v>-2.1491944052148767E-2</v>
      </c>
      <c r="O12" s="2" t="s">
        <v>29</v>
      </c>
      <c r="P12">
        <f>AVERAGEIF($D$2:$D$49, "GOOGLx", L$2:L$49) * 10000</f>
        <v>-23.908516670066884</v>
      </c>
    </row>
    <row r="13" spans="1:20" x14ac:dyDescent="0.2">
      <c r="A13" s="1">
        <v>46070</v>
      </c>
      <c r="B13" s="1">
        <v>46066</v>
      </c>
      <c r="C13">
        <v>4</v>
      </c>
      <c r="D13" t="s">
        <v>15</v>
      </c>
      <c r="E13" t="s">
        <v>16</v>
      </c>
      <c r="F13">
        <v>133.88000488281199</v>
      </c>
      <c r="G13">
        <v>129.009994506835</v>
      </c>
      <c r="H13">
        <v>133.88999999999999</v>
      </c>
      <c r="I13">
        <v>0.33333333333333298</v>
      </c>
      <c r="J13">
        <f t="shared" si="0"/>
        <v>-3.7054034657011133E-2</v>
      </c>
      <c r="K13">
        <f t="shared" si="1"/>
        <v>7.4654494606480847E-5</v>
      </c>
      <c r="L13">
        <f t="shared" si="2"/>
        <v>-3.7128689151617614E-2</v>
      </c>
      <c r="O13" s="2" t="s">
        <v>30</v>
      </c>
      <c r="P13" cm="1">
        <f t="array" ref="P13">_xlfn.STDEV.S(IF($D$2:$D$49="GOOGLx", L$2:L$49)) * 10000</f>
        <v>97.603590469169305</v>
      </c>
    </row>
    <row r="14" spans="1:20" x14ac:dyDescent="0.2">
      <c r="A14" s="1">
        <v>46070</v>
      </c>
      <c r="B14" s="1">
        <v>46066</v>
      </c>
      <c r="C14">
        <v>4</v>
      </c>
      <c r="D14" t="s">
        <v>17</v>
      </c>
      <c r="E14" t="s">
        <v>18</v>
      </c>
      <c r="F14">
        <v>182.80999755859301</v>
      </c>
      <c r="G14">
        <v>181.75</v>
      </c>
      <c r="H14">
        <v>182.785</v>
      </c>
      <c r="I14">
        <v>0.38333333333333303</v>
      </c>
      <c r="J14">
        <f t="shared" si="0"/>
        <v>-5.8152323504774206E-3</v>
      </c>
      <c r="K14">
        <f t="shared" si="1"/>
        <v>-1.3675000368662063E-4</v>
      </c>
      <c r="L14">
        <f t="shared" si="2"/>
        <v>-5.6784823467907995E-3</v>
      </c>
      <c r="O14" s="2" t="s">
        <v>31</v>
      </c>
      <c r="P14">
        <f>P12/(P13/SQRT(P11))</f>
        <v>-0.60001549191971937</v>
      </c>
    </row>
    <row r="15" spans="1:20" x14ac:dyDescent="0.2">
      <c r="A15" s="1">
        <v>46070</v>
      </c>
      <c r="B15" s="1">
        <v>46066</v>
      </c>
      <c r="C15">
        <v>4</v>
      </c>
      <c r="D15" t="s">
        <v>19</v>
      </c>
      <c r="E15" t="s">
        <v>20</v>
      </c>
      <c r="F15">
        <v>601.91998291015602</v>
      </c>
      <c r="G15">
        <v>598.38000488281205</v>
      </c>
      <c r="H15">
        <v>601.74</v>
      </c>
      <c r="I15">
        <v>0.38333333333333303</v>
      </c>
      <c r="J15">
        <f t="shared" si="0"/>
        <v>-5.8985059185631553E-3</v>
      </c>
      <c r="K15">
        <f t="shared" si="1"/>
        <v>-2.9905939227506878E-4</v>
      </c>
      <c r="L15">
        <f t="shared" si="2"/>
        <v>-5.5994465262880861E-3</v>
      </c>
      <c r="O15" s="2" t="s">
        <v>32</v>
      </c>
      <c r="P15">
        <f>_xlfn.T.DIST.2T(ABS(P14), P11-1)</f>
        <v>0.57465074003890726</v>
      </c>
    </row>
    <row r="16" spans="1:20" x14ac:dyDescent="0.2">
      <c r="A16" s="1">
        <v>46070</v>
      </c>
      <c r="B16" s="1">
        <v>46066</v>
      </c>
      <c r="C16">
        <v>4</v>
      </c>
      <c r="D16" t="s">
        <v>21</v>
      </c>
      <c r="E16" t="s">
        <v>22</v>
      </c>
      <c r="F16">
        <v>681.75</v>
      </c>
      <c r="G16">
        <v>680.14001464843705</v>
      </c>
      <c r="H16">
        <v>681.54</v>
      </c>
      <c r="I16">
        <v>0.76666666666666605</v>
      </c>
      <c r="J16">
        <f t="shared" si="0"/>
        <v>-2.3643408560827407E-3</v>
      </c>
      <c r="K16">
        <f t="shared" si="1"/>
        <v>-3.0807825431276213E-4</v>
      </c>
      <c r="L16">
        <f t="shared" si="2"/>
        <v>-2.0562626017699786E-3</v>
      </c>
      <c r="O16" s="2" t="s">
        <v>33</v>
      </c>
      <c r="P16">
        <f xml:space="preserve"> 1.96 * P13 / SQRT(P11)</f>
        <v>78.099137946259802</v>
      </c>
    </row>
    <row r="17" spans="1:16" x14ac:dyDescent="0.2">
      <c r="A17" s="1">
        <v>46070</v>
      </c>
      <c r="B17" s="1">
        <v>46066</v>
      </c>
      <c r="C17">
        <v>4</v>
      </c>
      <c r="D17" t="s">
        <v>23</v>
      </c>
      <c r="E17" t="s">
        <v>24</v>
      </c>
      <c r="F17">
        <v>417.44000244140602</v>
      </c>
      <c r="G17">
        <v>412.35998535156199</v>
      </c>
      <c r="H17">
        <v>417.22500000000002</v>
      </c>
      <c r="I17">
        <v>0.38333333333333303</v>
      </c>
      <c r="J17">
        <f t="shared" si="0"/>
        <v>-1.2244108532175864E-2</v>
      </c>
      <c r="K17">
        <f t="shared" si="1"/>
        <v>-5.1518260747119248E-4</v>
      </c>
      <c r="L17">
        <f t="shared" si="2"/>
        <v>-1.1728925924704672E-2</v>
      </c>
    </row>
    <row r="18" spans="1:16" x14ac:dyDescent="0.2">
      <c r="A18" s="1">
        <v>46076</v>
      </c>
      <c r="B18" s="1">
        <v>46073</v>
      </c>
      <c r="C18">
        <v>3</v>
      </c>
      <c r="D18" t="s">
        <v>9</v>
      </c>
      <c r="E18" t="s">
        <v>10</v>
      </c>
      <c r="F18">
        <v>264.579986572265</v>
      </c>
      <c r="G18">
        <v>263.489990234375</v>
      </c>
      <c r="H18">
        <v>264.38</v>
      </c>
      <c r="I18">
        <v>0.35</v>
      </c>
      <c r="J18">
        <f t="shared" si="0"/>
        <v>-4.1282327485658247E-3</v>
      </c>
      <c r="K18">
        <f t="shared" si="1"/>
        <v>-7.561501318452922E-4</v>
      </c>
      <c r="L18">
        <f t="shared" si="2"/>
        <v>-3.3720826167205325E-3</v>
      </c>
      <c r="O18" s="3" t="s">
        <v>21</v>
      </c>
      <c r="P18" s="3"/>
    </row>
    <row r="19" spans="1:16" x14ac:dyDescent="0.2">
      <c r="A19" s="1">
        <v>46076</v>
      </c>
      <c r="B19" s="1">
        <v>46073</v>
      </c>
      <c r="C19">
        <v>3</v>
      </c>
      <c r="D19" t="s">
        <v>11</v>
      </c>
      <c r="E19" t="s">
        <v>12</v>
      </c>
      <c r="F19">
        <v>314.98001098632801</v>
      </c>
      <c r="G19">
        <v>319.04998779296801</v>
      </c>
      <c r="H19">
        <v>315.23</v>
      </c>
      <c r="I19">
        <v>0.45</v>
      </c>
      <c r="J19">
        <f t="shared" si="0"/>
        <v>1.2838612427913705E-2</v>
      </c>
      <c r="K19">
        <f t="shared" si="1"/>
        <v>7.9335149371188884E-4</v>
      </c>
      <c r="L19">
        <f t="shared" si="2"/>
        <v>1.2045260934201817E-2</v>
      </c>
      <c r="O19" t="s">
        <v>28</v>
      </c>
      <c r="P19">
        <f>COUNTIF($D$2:$D$49, "SPYx")</f>
        <v>6</v>
      </c>
    </row>
    <row r="20" spans="1:16" x14ac:dyDescent="0.2">
      <c r="A20" s="1">
        <v>46076</v>
      </c>
      <c r="B20" s="1">
        <v>46073</v>
      </c>
      <c r="C20">
        <v>3</v>
      </c>
      <c r="D20" t="s">
        <v>13</v>
      </c>
      <c r="E20" t="s">
        <v>14</v>
      </c>
      <c r="F20">
        <v>76.110000610351506</v>
      </c>
      <c r="G20">
        <v>74.595001220703097</v>
      </c>
      <c r="H20">
        <v>76.069999999999993</v>
      </c>
      <c r="I20">
        <v>0.96666666666666601</v>
      </c>
      <c r="J20">
        <f t="shared" si="0"/>
        <v>-2.0106173099413632E-2</v>
      </c>
      <c r="K20">
        <f t="shared" si="1"/>
        <v>-5.2570128942441786E-4</v>
      </c>
      <c r="L20">
        <f t="shared" si="2"/>
        <v>-1.9580471809989213E-2</v>
      </c>
      <c r="O20" t="s">
        <v>29</v>
      </c>
      <c r="P20">
        <f>AVERAGEIF($D$2:$D$49, "SPYx", L$2:L$49) * 10000</f>
        <v>-17.863123953423369</v>
      </c>
    </row>
    <row r="21" spans="1:16" x14ac:dyDescent="0.2">
      <c r="A21" s="1">
        <v>46076</v>
      </c>
      <c r="B21" s="1">
        <v>46073</v>
      </c>
      <c r="C21">
        <v>3</v>
      </c>
      <c r="D21" t="s">
        <v>15</v>
      </c>
      <c r="E21" t="s">
        <v>16</v>
      </c>
      <c r="F21">
        <v>131.05000305175699</v>
      </c>
      <c r="G21">
        <v>127.900001525878</v>
      </c>
      <c r="H21">
        <v>130.80500000000001</v>
      </c>
      <c r="I21">
        <v>0.4</v>
      </c>
      <c r="J21">
        <f t="shared" si="0"/>
        <v>-2.4330232541342475E-2</v>
      </c>
      <c r="K21">
        <f t="shared" si="1"/>
        <v>-1.8712884641955982E-3</v>
      </c>
      <c r="L21">
        <f t="shared" si="2"/>
        <v>-2.2458944077146877E-2</v>
      </c>
      <c r="O21" t="s">
        <v>30</v>
      </c>
      <c r="P21" cm="1">
        <f t="array" ref="P21">_xlfn.STDEV.S(IF($D$2:$D$49="SPYx", L$2:L$49)) * 10000</f>
        <v>9.7126791801025885</v>
      </c>
    </row>
    <row r="22" spans="1:16" x14ac:dyDescent="0.2">
      <c r="A22" s="1">
        <v>46076</v>
      </c>
      <c r="B22" s="1">
        <v>46073</v>
      </c>
      <c r="C22">
        <v>3</v>
      </c>
      <c r="D22" t="s">
        <v>17</v>
      </c>
      <c r="E22" t="s">
        <v>18</v>
      </c>
      <c r="F22">
        <v>189.82000732421801</v>
      </c>
      <c r="G22">
        <v>191.39999389648401</v>
      </c>
      <c r="H22">
        <v>189.82</v>
      </c>
      <c r="I22">
        <v>0.116666666666666</v>
      </c>
      <c r="J22">
        <f t="shared" si="0"/>
        <v>8.2891538426395628E-3</v>
      </c>
      <c r="K22">
        <f t="shared" si="1"/>
        <v>-3.858506944009945E-8</v>
      </c>
      <c r="L22">
        <f t="shared" si="2"/>
        <v>8.2891924277090027E-3</v>
      </c>
      <c r="O22" t="s">
        <v>31</v>
      </c>
      <c r="P22">
        <f xml:space="preserve"> P20 / (P21/ SQRT(P19))</f>
        <v>-4.5049916801136298</v>
      </c>
    </row>
    <row r="23" spans="1:16" x14ac:dyDescent="0.2">
      <c r="A23" s="1">
        <v>46076</v>
      </c>
      <c r="B23" s="1">
        <v>46073</v>
      </c>
      <c r="C23">
        <v>3</v>
      </c>
      <c r="D23" t="s">
        <v>19</v>
      </c>
      <c r="E23" t="s">
        <v>20</v>
      </c>
      <c r="F23">
        <v>608.80999755859295</v>
      </c>
      <c r="G23">
        <v>606.60998535156205</v>
      </c>
      <c r="H23">
        <v>608.42499999999995</v>
      </c>
      <c r="I23">
        <v>0.35</v>
      </c>
      <c r="J23">
        <f t="shared" si="0"/>
        <v>-3.6201718594053977E-3</v>
      </c>
      <c r="K23">
        <f t="shared" si="1"/>
        <v>-6.3257722987486074E-4</v>
      </c>
      <c r="L23">
        <f t="shared" si="2"/>
        <v>-2.9875946295305367E-3</v>
      </c>
      <c r="O23" t="s">
        <v>32</v>
      </c>
      <c r="P23">
        <f>_xlfn.T.DIST.2T(ABS(P22),  P19-1)</f>
        <v>6.3701883682730602E-3</v>
      </c>
    </row>
    <row r="24" spans="1:16" x14ac:dyDescent="0.2">
      <c r="A24" s="1">
        <v>46076</v>
      </c>
      <c r="B24" s="1">
        <v>46073</v>
      </c>
      <c r="C24">
        <v>3</v>
      </c>
      <c r="D24" t="s">
        <v>21</v>
      </c>
      <c r="E24" t="s">
        <v>22</v>
      </c>
      <c r="F24">
        <v>689.42999267578102</v>
      </c>
      <c r="G24">
        <v>687.83001708984295</v>
      </c>
      <c r="H24">
        <v>688.93</v>
      </c>
      <c r="I24">
        <v>0.65</v>
      </c>
      <c r="J24">
        <f t="shared" si="0"/>
        <v>-2.3234193897340707E-3</v>
      </c>
      <c r="K24">
        <f t="shared" si="1"/>
        <v>-7.2548927764617282E-4</v>
      </c>
      <c r="L24">
        <f t="shared" si="2"/>
        <v>-1.597930112087898E-3</v>
      </c>
      <c r="O24" t="s">
        <v>33</v>
      </c>
      <c r="P24">
        <f xml:space="preserve"> 1.96 * P21 / SQRT(P19)</f>
        <v>7.7717619553576398</v>
      </c>
    </row>
    <row r="25" spans="1:16" x14ac:dyDescent="0.2">
      <c r="A25" s="1">
        <v>46076</v>
      </c>
      <c r="B25" s="1">
        <v>46073</v>
      </c>
      <c r="C25">
        <v>3</v>
      </c>
      <c r="D25" t="s">
        <v>23</v>
      </c>
      <c r="E25" t="s">
        <v>24</v>
      </c>
      <c r="F25">
        <v>411.82000732421801</v>
      </c>
      <c r="G25">
        <v>407.29000854492102</v>
      </c>
      <c r="H25">
        <v>411.75</v>
      </c>
      <c r="I25">
        <v>0.18333333333333299</v>
      </c>
      <c r="J25">
        <f t="shared" si="0"/>
        <v>-1.1060895059418714E-2</v>
      </c>
      <c r="K25">
        <f t="shared" si="1"/>
        <v>-1.7000940724897526E-4</v>
      </c>
      <c r="L25">
        <f t="shared" si="2"/>
        <v>-1.089088565216974E-2</v>
      </c>
    </row>
    <row r="26" spans="1:16" x14ac:dyDescent="0.2">
      <c r="A26" s="1">
        <v>46118</v>
      </c>
      <c r="B26" s="1">
        <v>46114</v>
      </c>
      <c r="C26">
        <v>4</v>
      </c>
      <c r="D26" t="s">
        <v>9</v>
      </c>
      <c r="E26" t="s">
        <v>10</v>
      </c>
      <c r="F26">
        <v>255.919998168945</v>
      </c>
      <c r="G26">
        <v>256.510009765625</v>
      </c>
      <c r="H26">
        <v>255.99</v>
      </c>
      <c r="I26">
        <v>0.4</v>
      </c>
      <c r="J26">
        <f t="shared" si="0"/>
        <v>2.3027997903109104E-3</v>
      </c>
      <c r="K26">
        <f t="shared" si="1"/>
        <v>2.7349273013508322E-4</v>
      </c>
      <c r="L26">
        <f t="shared" si="2"/>
        <v>2.0293070601758272E-3</v>
      </c>
      <c r="O26" s="3" t="s">
        <v>15</v>
      </c>
      <c r="P26" s="3"/>
    </row>
    <row r="27" spans="1:16" x14ac:dyDescent="0.2">
      <c r="A27" s="1">
        <v>46118</v>
      </c>
      <c r="B27" s="1">
        <v>46114</v>
      </c>
      <c r="C27">
        <v>4</v>
      </c>
      <c r="D27" t="s">
        <v>11</v>
      </c>
      <c r="E27" t="s">
        <v>12</v>
      </c>
      <c r="F27">
        <v>295.76998901367102</v>
      </c>
      <c r="G27">
        <v>295.86999511718699</v>
      </c>
      <c r="H27">
        <v>295.745</v>
      </c>
      <c r="I27">
        <v>0.58333333333333304</v>
      </c>
      <c r="J27">
        <f t="shared" si="0"/>
        <v>3.3806404959369743E-4</v>
      </c>
      <c r="K27">
        <f t="shared" si="1"/>
        <v>-8.4491565387195301E-5</v>
      </c>
      <c r="L27">
        <f t="shared" si="2"/>
        <v>4.2255561498089273E-4</v>
      </c>
      <c r="O27" t="s">
        <v>28</v>
      </c>
      <c r="P27">
        <f>COUNTIF($D$2:$D$49, "MSTRx")</f>
        <v>6</v>
      </c>
    </row>
    <row r="28" spans="1:16" x14ac:dyDescent="0.2">
      <c r="A28" s="1">
        <v>46118</v>
      </c>
      <c r="B28" s="1">
        <v>46114</v>
      </c>
      <c r="C28">
        <v>4</v>
      </c>
      <c r="D28" t="s">
        <v>13</v>
      </c>
      <c r="E28" t="s">
        <v>14</v>
      </c>
      <c r="F28">
        <v>68.900001525878906</v>
      </c>
      <c r="G28">
        <v>69.309997558593693</v>
      </c>
      <c r="H28">
        <v>68.91</v>
      </c>
      <c r="I28">
        <v>0.4</v>
      </c>
      <c r="J28">
        <f t="shared" si="0"/>
        <v>5.9329605395515121E-3</v>
      </c>
      <c r="K28">
        <f t="shared" si="1"/>
        <v>1.451052032207784E-4</v>
      </c>
      <c r="L28">
        <f t="shared" si="2"/>
        <v>5.7878553363307338E-3</v>
      </c>
      <c r="O28" t="s">
        <v>29</v>
      </c>
      <c r="P28">
        <f>AVERAGEIF($D$2:$D$49, "MSTRx", L$2:L$49) * 10000</f>
        <v>-202.19705115762997</v>
      </c>
    </row>
    <row r="29" spans="1:16" x14ac:dyDescent="0.2">
      <c r="A29" s="1">
        <v>46118</v>
      </c>
      <c r="B29" s="1">
        <v>46114</v>
      </c>
      <c r="C29">
        <v>4</v>
      </c>
      <c r="D29" t="s">
        <v>15</v>
      </c>
      <c r="E29" t="s">
        <v>16</v>
      </c>
      <c r="F29">
        <v>119.83000183105401</v>
      </c>
      <c r="G29">
        <v>124.56999969482401</v>
      </c>
      <c r="H29">
        <v>120.08</v>
      </c>
      <c r="I29">
        <v>0.4</v>
      </c>
      <c r="J29">
        <f t="shared" si="0"/>
        <v>3.8793717473310216E-2</v>
      </c>
      <c r="K29">
        <f t="shared" si="1"/>
        <v>2.0841003503508293E-3</v>
      </c>
      <c r="L29">
        <f t="shared" si="2"/>
        <v>3.6709617122959386E-2</v>
      </c>
      <c r="O29" t="s">
        <v>30</v>
      </c>
      <c r="P29" cm="1">
        <f t="array" ref="P29">_xlfn.STDEV.S(IF($D$2:$D$49="MSTRx", L$2:L$49)) * 10000</f>
        <v>315.91564116962809</v>
      </c>
    </row>
    <row r="30" spans="1:16" x14ac:dyDescent="0.2">
      <c r="A30" s="1">
        <v>46118</v>
      </c>
      <c r="B30" s="1">
        <v>46114</v>
      </c>
      <c r="C30">
        <v>4</v>
      </c>
      <c r="D30" t="s">
        <v>17</v>
      </c>
      <c r="E30" t="s">
        <v>18</v>
      </c>
      <c r="F30">
        <v>177.38999938964801</v>
      </c>
      <c r="G30">
        <v>177.16000366210901</v>
      </c>
      <c r="H30">
        <v>177.38</v>
      </c>
      <c r="I30">
        <v>0.15</v>
      </c>
      <c r="J30">
        <f t="shared" si="0"/>
        <v>-1.2973953339203972E-3</v>
      </c>
      <c r="K30">
        <f t="shared" si="1"/>
        <v>-5.6371111806868322E-5</v>
      </c>
      <c r="L30">
        <f t="shared" si="2"/>
        <v>-1.2410242221135288E-3</v>
      </c>
      <c r="O30" t="s">
        <v>31</v>
      </c>
      <c r="P30">
        <f xml:space="preserve"> P28 / (P29 / SQRT(P27))</f>
        <v>-1.5677590416160627</v>
      </c>
    </row>
    <row r="31" spans="1:16" x14ac:dyDescent="0.2">
      <c r="A31" s="1">
        <v>46118</v>
      </c>
      <c r="B31" s="1">
        <v>46114</v>
      </c>
      <c r="C31">
        <v>4</v>
      </c>
      <c r="D31" t="s">
        <v>19</v>
      </c>
      <c r="E31" t="s">
        <v>20</v>
      </c>
      <c r="F31">
        <v>584.97998046875</v>
      </c>
      <c r="G31">
        <v>586.22998046875</v>
      </c>
      <c r="H31">
        <v>585</v>
      </c>
      <c r="I31">
        <v>0.1</v>
      </c>
      <c r="J31">
        <f t="shared" si="0"/>
        <v>2.13454549790948E-3</v>
      </c>
      <c r="K31">
        <f t="shared" si="1"/>
        <v>3.4222006506419466E-5</v>
      </c>
      <c r="L31">
        <f t="shared" si="2"/>
        <v>2.1003234914030605E-3</v>
      </c>
      <c r="O31" t="s">
        <v>32</v>
      </c>
      <c r="P31">
        <f>_xlfn.T.DIST.2T(ABS(P30), P27-1)</f>
        <v>0.17772321520470638</v>
      </c>
    </row>
    <row r="32" spans="1:16" x14ac:dyDescent="0.2">
      <c r="A32" s="1">
        <v>46118</v>
      </c>
      <c r="B32" s="1">
        <v>46114</v>
      </c>
      <c r="C32">
        <v>4</v>
      </c>
      <c r="D32" t="s">
        <v>21</v>
      </c>
      <c r="E32" t="s">
        <v>22</v>
      </c>
      <c r="F32">
        <v>655.83001708984295</v>
      </c>
      <c r="G32">
        <v>655.85998535156205</v>
      </c>
      <c r="H32">
        <v>655.85500000000002</v>
      </c>
      <c r="I32">
        <v>1.6666666666666601E-2</v>
      </c>
      <c r="J32">
        <f t="shared" si="0"/>
        <v>4.5694122343814041E-5</v>
      </c>
      <c r="K32">
        <f t="shared" si="1"/>
        <v>3.809284978409988E-5</v>
      </c>
      <c r="L32">
        <f t="shared" si="2"/>
        <v>7.6012725597141619E-6</v>
      </c>
      <c r="O32" t="s">
        <v>33</v>
      </c>
      <c r="P32">
        <f xml:space="preserve"> 1.96 * P29 / SQRT(P27)</f>
        <v>252.7851600590599</v>
      </c>
    </row>
    <row r="33" spans="1:16" x14ac:dyDescent="0.2">
      <c r="A33" s="1">
        <v>46118</v>
      </c>
      <c r="B33" s="1">
        <v>46114</v>
      </c>
      <c r="C33">
        <v>4</v>
      </c>
      <c r="D33" t="s">
        <v>23</v>
      </c>
      <c r="E33" t="s">
        <v>24</v>
      </c>
      <c r="F33">
        <v>360.58999633789</v>
      </c>
      <c r="G33">
        <v>362.58999633789</v>
      </c>
      <c r="H33">
        <v>360.565</v>
      </c>
      <c r="I33">
        <v>3.3333333333333298E-2</v>
      </c>
      <c r="J33">
        <f t="shared" si="0"/>
        <v>5.5311405712889419E-3</v>
      </c>
      <c r="K33">
        <f t="shared" si="1"/>
        <v>-6.9323066544454856E-5</v>
      </c>
      <c r="L33">
        <f t="shared" si="2"/>
        <v>5.6004636378333963E-3</v>
      </c>
    </row>
    <row r="34" spans="1:16" x14ac:dyDescent="0.2">
      <c r="A34" s="1">
        <v>46125</v>
      </c>
      <c r="B34" s="1">
        <v>46122</v>
      </c>
      <c r="C34">
        <v>3</v>
      </c>
      <c r="D34" t="s">
        <v>9</v>
      </c>
      <c r="E34" t="s">
        <v>10</v>
      </c>
      <c r="F34">
        <v>260.48001098632801</v>
      </c>
      <c r="G34">
        <v>259.73001098632801</v>
      </c>
      <c r="H34">
        <v>260.38</v>
      </c>
      <c r="I34">
        <v>0.65</v>
      </c>
      <c r="J34">
        <f t="shared" si="0"/>
        <v>-2.8834527900852185E-3</v>
      </c>
      <c r="K34">
        <f t="shared" si="1"/>
        <v>-3.8402252216567374E-4</v>
      </c>
      <c r="L34">
        <f t="shared" si="2"/>
        <v>-2.4994302679195446E-3</v>
      </c>
      <c r="O34" s="3" t="s">
        <v>13</v>
      </c>
      <c r="P34" s="3"/>
    </row>
    <row r="35" spans="1:16" x14ac:dyDescent="0.2">
      <c r="A35" s="1">
        <v>46125</v>
      </c>
      <c r="B35" s="1">
        <v>46122</v>
      </c>
      <c r="C35">
        <v>3</v>
      </c>
      <c r="D35" t="s">
        <v>11</v>
      </c>
      <c r="E35" t="s">
        <v>12</v>
      </c>
      <c r="F35">
        <v>317.239990234375</v>
      </c>
      <c r="G35">
        <v>317.14001464843699</v>
      </c>
      <c r="H35">
        <v>317.07499999999999</v>
      </c>
      <c r="I35">
        <v>0.66666666666666596</v>
      </c>
      <c r="J35">
        <f t="shared" si="0"/>
        <v>-3.151914814344427E-4</v>
      </c>
      <c r="K35">
        <f t="shared" si="1"/>
        <v>-5.2021547854295752E-4</v>
      </c>
      <c r="L35">
        <f t="shared" si="2"/>
        <v>2.0502399710851482E-4</v>
      </c>
      <c r="O35" t="s">
        <v>28</v>
      </c>
      <c r="P35">
        <f>COUNTIF($D$2:$D$49,"HOODx")</f>
        <v>6</v>
      </c>
    </row>
    <row r="36" spans="1:16" x14ac:dyDescent="0.2">
      <c r="A36" s="1">
        <v>46125</v>
      </c>
      <c r="B36" s="1">
        <v>46122</v>
      </c>
      <c r="C36">
        <v>3</v>
      </c>
      <c r="D36" t="s">
        <v>13</v>
      </c>
      <c r="E36" t="s">
        <v>14</v>
      </c>
      <c r="F36">
        <v>69.190002441406193</v>
      </c>
      <c r="G36">
        <v>68.205001831054602</v>
      </c>
      <c r="H36">
        <v>69.234999999999999</v>
      </c>
      <c r="I36">
        <v>0.38333333333333303</v>
      </c>
      <c r="J36">
        <f t="shared" si="0"/>
        <v>-1.433847600483148E-2</v>
      </c>
      <c r="K36">
        <f t="shared" si="1"/>
        <v>6.5013631042281305E-4</v>
      </c>
      <c r="L36">
        <f t="shared" si="2"/>
        <v>-1.4988612315254293E-2</v>
      </c>
      <c r="O36" t="s">
        <v>29</v>
      </c>
      <c r="P36">
        <f>AVERAGEIF($D$2:$D$49, "HOODx", L$2:L$49) * 10000</f>
        <v>-64.562815102512076</v>
      </c>
    </row>
    <row r="37" spans="1:16" x14ac:dyDescent="0.2">
      <c r="A37" s="1">
        <v>46125</v>
      </c>
      <c r="B37" s="1">
        <v>46122</v>
      </c>
      <c r="C37">
        <v>3</v>
      </c>
      <c r="D37" t="s">
        <v>15</v>
      </c>
      <c r="E37" t="s">
        <v>16</v>
      </c>
      <c r="F37">
        <v>128.63999938964801</v>
      </c>
      <c r="G37">
        <v>126.650001525878</v>
      </c>
      <c r="H37">
        <v>128.56</v>
      </c>
      <c r="I37">
        <v>0.41666666666666602</v>
      </c>
      <c r="J37">
        <f t="shared" si="0"/>
        <v>-1.5590412190329948E-2</v>
      </c>
      <c r="K37">
        <f t="shared" si="1"/>
        <v>-6.2207925674742941E-4</v>
      </c>
      <c r="L37">
        <f t="shared" si="2"/>
        <v>-1.4968332933582518E-2</v>
      </c>
      <c r="O37" t="s">
        <v>30</v>
      </c>
      <c r="P37" cm="1">
        <f t="array" ref="P37">_xlfn.STDEV.S(IF($D$2:$D$49="HOODx", L$2:L$49)) * 10000</f>
        <v>176.90367145679917</v>
      </c>
    </row>
    <row r="38" spans="1:16" x14ac:dyDescent="0.2">
      <c r="A38" s="1">
        <v>46125</v>
      </c>
      <c r="B38" s="1">
        <v>46122</v>
      </c>
      <c r="C38">
        <v>3</v>
      </c>
      <c r="D38" t="s">
        <v>17</v>
      </c>
      <c r="E38" t="s">
        <v>18</v>
      </c>
      <c r="F38">
        <v>188.63000488281199</v>
      </c>
      <c r="G38">
        <v>186.02999877929599</v>
      </c>
      <c r="H38">
        <v>188.51999999999899</v>
      </c>
      <c r="I38">
        <v>0.98333333333333295</v>
      </c>
      <c r="J38">
        <f t="shared" si="0"/>
        <v>-1.387950577526271E-2</v>
      </c>
      <c r="K38">
        <f t="shared" si="1"/>
        <v>-5.8334818776782085E-4</v>
      </c>
      <c r="L38">
        <f t="shared" si="2"/>
        <v>-1.3296157587494889E-2</v>
      </c>
      <c r="O38" t="s">
        <v>31</v>
      </c>
      <c r="P38">
        <f xml:space="preserve"> P36 / (P37 / SQRT(P35))</f>
        <v>-0.89396648501684861</v>
      </c>
    </row>
    <row r="39" spans="1:16" x14ac:dyDescent="0.2">
      <c r="A39" s="1">
        <v>46125</v>
      </c>
      <c r="B39" s="1">
        <v>46122</v>
      </c>
      <c r="C39">
        <v>3</v>
      </c>
      <c r="D39" t="s">
        <v>19</v>
      </c>
      <c r="E39" t="s">
        <v>20</v>
      </c>
      <c r="F39">
        <v>611.07000732421795</v>
      </c>
      <c r="G39">
        <v>609.47998046875</v>
      </c>
      <c r="H39">
        <v>610.85</v>
      </c>
      <c r="I39">
        <v>0.83333333333333304</v>
      </c>
      <c r="J39">
        <f t="shared" si="0"/>
        <v>-2.6054283246558126E-3</v>
      </c>
      <c r="K39">
        <f t="shared" si="1"/>
        <v>-3.6010102998007532E-4</v>
      </c>
      <c r="L39">
        <f t="shared" si="2"/>
        <v>-2.245327294675737E-3</v>
      </c>
      <c r="O39" t="s">
        <v>32</v>
      </c>
      <c r="P39">
        <f>_xlfn.T.DIST.2T(ABS(P38), P35-1)</f>
        <v>0.41229893808418894</v>
      </c>
    </row>
    <row r="40" spans="1:16" x14ac:dyDescent="0.2">
      <c r="A40" s="1">
        <v>46125</v>
      </c>
      <c r="B40" s="1">
        <v>46122</v>
      </c>
      <c r="C40">
        <v>3</v>
      </c>
      <c r="D40" t="s">
        <v>21</v>
      </c>
      <c r="E40" t="s">
        <v>22</v>
      </c>
      <c r="F40">
        <v>679.46002197265602</v>
      </c>
      <c r="G40">
        <v>677.40997314453102</v>
      </c>
      <c r="H40">
        <v>679.18499999999995</v>
      </c>
      <c r="I40">
        <v>0.98333333333333295</v>
      </c>
      <c r="J40">
        <f t="shared" si="0"/>
        <v>-3.0217344261391213E-3</v>
      </c>
      <c r="K40">
        <f t="shared" si="1"/>
        <v>-4.0484743544443437E-4</v>
      </c>
      <c r="L40">
        <f t="shared" si="2"/>
        <v>-2.616886990694687E-3</v>
      </c>
      <c r="O40" t="s">
        <v>33</v>
      </c>
      <c r="P40">
        <f xml:space="preserve"> 1.96 * P37 / SQRT(P35)</f>
        <v>141.55241804007753</v>
      </c>
    </row>
    <row r="41" spans="1:16" x14ac:dyDescent="0.2">
      <c r="A41" s="1">
        <v>46125</v>
      </c>
      <c r="B41" s="1">
        <v>46122</v>
      </c>
      <c r="C41">
        <v>3</v>
      </c>
      <c r="D41" t="s">
        <v>23</v>
      </c>
      <c r="E41" t="s">
        <v>24</v>
      </c>
      <c r="F41">
        <v>348.95001220703102</v>
      </c>
      <c r="G41">
        <v>350.07000732421801</v>
      </c>
      <c r="H41">
        <v>348.81</v>
      </c>
      <c r="I41">
        <v>0.46666666666666601</v>
      </c>
      <c r="J41">
        <f t="shared" si="0"/>
        <v>3.2044749629400906E-3</v>
      </c>
      <c r="K41">
        <f t="shared" si="1"/>
        <v>-4.0131909671156955E-4</v>
      </c>
      <c r="L41">
        <f t="shared" si="2"/>
        <v>3.6057940596516602E-3</v>
      </c>
    </row>
    <row r="42" spans="1:16" x14ac:dyDescent="0.2">
      <c r="A42" s="1">
        <v>46132</v>
      </c>
      <c r="B42" s="1">
        <v>46129</v>
      </c>
      <c r="C42">
        <v>3</v>
      </c>
      <c r="D42" t="s">
        <v>9</v>
      </c>
      <c r="E42" t="s">
        <v>10</v>
      </c>
      <c r="F42">
        <v>270.23001098632801</v>
      </c>
      <c r="G42">
        <v>270.329986572265</v>
      </c>
      <c r="H42">
        <v>270.19</v>
      </c>
      <c r="I42">
        <v>2.7833333333333301</v>
      </c>
      <c r="J42">
        <f t="shared" si="0"/>
        <v>3.6989635758627763E-4</v>
      </c>
      <c r="K42">
        <f t="shared" si="1"/>
        <v>-1.4807366710235326E-4</v>
      </c>
      <c r="L42">
        <f t="shared" si="2"/>
        <v>5.1797002468863089E-4</v>
      </c>
      <c r="O42" s="3" t="s">
        <v>19</v>
      </c>
      <c r="P42" s="3"/>
    </row>
    <row r="43" spans="1:16" x14ac:dyDescent="0.2">
      <c r="A43" s="1">
        <v>46132</v>
      </c>
      <c r="B43" s="1">
        <v>46129</v>
      </c>
      <c r="C43">
        <v>3</v>
      </c>
      <c r="D43" t="s">
        <v>11</v>
      </c>
      <c r="E43" t="s">
        <v>12</v>
      </c>
      <c r="F43">
        <v>341.67999267578102</v>
      </c>
      <c r="G43">
        <v>340.760009765625</v>
      </c>
      <c r="H43">
        <v>341.69499999999999</v>
      </c>
      <c r="I43">
        <v>2.7166666666666601</v>
      </c>
      <c r="J43">
        <f t="shared" si="0"/>
        <v>-2.6961592643029299E-3</v>
      </c>
      <c r="K43">
        <f t="shared" si="1"/>
        <v>4.3921198118742435E-5</v>
      </c>
      <c r="L43">
        <f t="shared" si="2"/>
        <v>-2.7400804624216723E-3</v>
      </c>
      <c r="O43" t="s">
        <v>28</v>
      </c>
      <c r="P43">
        <f>COUNTIF($D$2:$D$49,"QQQx")</f>
        <v>6</v>
      </c>
    </row>
    <row r="44" spans="1:16" x14ac:dyDescent="0.2">
      <c r="A44" s="1">
        <v>46132</v>
      </c>
      <c r="B44" s="1">
        <v>46129</v>
      </c>
      <c r="C44">
        <v>3</v>
      </c>
      <c r="D44" t="s">
        <v>13</v>
      </c>
      <c r="E44" t="s">
        <v>14</v>
      </c>
      <c r="F44">
        <v>90.75</v>
      </c>
      <c r="G44">
        <v>89.699996948242102</v>
      </c>
      <c r="H44">
        <v>90.8</v>
      </c>
      <c r="I44">
        <v>2.7166666666666601</v>
      </c>
      <c r="J44">
        <f t="shared" si="0"/>
        <v>-1.16377381020375E-2</v>
      </c>
      <c r="K44">
        <f t="shared" si="1"/>
        <v>5.5081246228743253E-4</v>
      </c>
      <c r="L44">
        <f t="shared" si="2"/>
        <v>-1.2188550564324932E-2</v>
      </c>
      <c r="O44" t="s">
        <v>29</v>
      </c>
      <c r="P44">
        <f>AVERAGEIF($D$2:$D$49, "QQQx", L$2:L$49) * 10000</f>
        <v>-23.467785513504868</v>
      </c>
    </row>
    <row r="45" spans="1:16" x14ac:dyDescent="0.2">
      <c r="A45" s="1">
        <v>46132</v>
      </c>
      <c r="B45" s="1">
        <v>46129</v>
      </c>
      <c r="C45">
        <v>3</v>
      </c>
      <c r="D45" t="s">
        <v>15</v>
      </c>
      <c r="E45" t="s">
        <v>16</v>
      </c>
      <c r="F45">
        <v>166.52000427246</v>
      </c>
      <c r="G45">
        <v>162.30000305175699</v>
      </c>
      <c r="H45">
        <v>166.55</v>
      </c>
      <c r="I45">
        <v>3.35</v>
      </c>
      <c r="J45">
        <f t="shared" si="0"/>
        <v>-2.5668954660382059E-2</v>
      </c>
      <c r="K45">
        <f t="shared" si="1"/>
        <v>1.8011665557584125E-4</v>
      </c>
      <c r="L45">
        <f t="shared" si="2"/>
        <v>-2.58490713159579E-2</v>
      </c>
      <c r="O45" t="s">
        <v>30</v>
      </c>
      <c r="P45" cm="1">
        <f t="array" ref="P45">_xlfn.STDEV.S(IF($D$2:$D$49="QQQx", L$2:L$49)) * 10000</f>
        <v>26.807337055622092</v>
      </c>
    </row>
    <row r="46" spans="1:16" x14ac:dyDescent="0.2">
      <c r="A46" s="1">
        <v>46132</v>
      </c>
      <c r="B46" s="1">
        <v>46129</v>
      </c>
      <c r="C46">
        <v>3</v>
      </c>
      <c r="D46" t="s">
        <v>17</v>
      </c>
      <c r="E46" t="s">
        <v>18</v>
      </c>
      <c r="F46">
        <v>201.67999267578099</v>
      </c>
      <c r="G46">
        <v>199.97999572753901</v>
      </c>
      <c r="H46">
        <v>201.62</v>
      </c>
      <c r="I46">
        <v>2.7166666666666601</v>
      </c>
      <c r="J46">
        <f t="shared" si="0"/>
        <v>-8.4649063803617659E-3</v>
      </c>
      <c r="K46">
        <f t="shared" si="1"/>
        <v>-2.9750893782797569E-4</v>
      </c>
      <c r="L46">
        <f t="shared" si="2"/>
        <v>-8.1673974425337907E-3</v>
      </c>
      <c r="O46" t="s">
        <v>31</v>
      </c>
      <c r="P46">
        <f xml:space="preserve"> P44 / (P45 / SQRT(P43))</f>
        <v>-2.1443420426987223</v>
      </c>
    </row>
    <row r="47" spans="1:16" x14ac:dyDescent="0.2">
      <c r="A47" s="1">
        <v>46132</v>
      </c>
      <c r="B47" s="1">
        <v>46129</v>
      </c>
      <c r="C47">
        <v>3</v>
      </c>
      <c r="D47" t="s">
        <v>19</v>
      </c>
      <c r="E47" t="s">
        <v>20</v>
      </c>
      <c r="F47">
        <v>648.84997558593705</v>
      </c>
      <c r="G47">
        <v>648.03997802734295</v>
      </c>
      <c r="H47">
        <v>648.755</v>
      </c>
      <c r="I47">
        <v>2.6666666666666599</v>
      </c>
      <c r="J47">
        <f t="shared" si="0"/>
        <v>-1.2491386206832256E-3</v>
      </c>
      <c r="K47">
        <f t="shared" si="1"/>
        <v>-1.4638597707863985E-4</v>
      </c>
      <c r="L47">
        <f t="shared" si="2"/>
        <v>-1.1027526436045857E-3</v>
      </c>
      <c r="O47" t="s">
        <v>32</v>
      </c>
      <c r="P47">
        <f>_xlfn.T.DIST.2T(ABS(P46), P43-1)</f>
        <v>8.4849972554082928E-2</v>
      </c>
    </row>
    <row r="48" spans="1:16" x14ac:dyDescent="0.2">
      <c r="A48" s="1">
        <v>46132</v>
      </c>
      <c r="B48" s="1">
        <v>46129</v>
      </c>
      <c r="C48">
        <v>3</v>
      </c>
      <c r="D48" t="s">
        <v>21</v>
      </c>
      <c r="E48" t="s">
        <v>22</v>
      </c>
      <c r="F48">
        <v>710.14001464843705</v>
      </c>
      <c r="G48">
        <v>708.780029296875</v>
      </c>
      <c r="H48">
        <v>710.08</v>
      </c>
      <c r="I48">
        <v>2.9</v>
      </c>
      <c r="J48">
        <f t="shared" si="0"/>
        <v>-1.9169308007425702E-3</v>
      </c>
      <c r="K48">
        <f t="shared" si="1"/>
        <v>-8.4514579225355014E-5</v>
      </c>
      <c r="L48">
        <f t="shared" si="2"/>
        <v>-1.8324162215172151E-3</v>
      </c>
      <c r="O48" t="s">
        <v>33</v>
      </c>
      <c r="P48">
        <f xml:space="preserve"> 1.96 * P45 / SQRT(P43)</f>
        <v>21.450337068698722</v>
      </c>
    </row>
    <row r="49" spans="1:16" x14ac:dyDescent="0.2">
      <c r="A49" s="1">
        <v>46132</v>
      </c>
      <c r="B49" s="1">
        <v>46129</v>
      </c>
      <c r="C49">
        <v>3</v>
      </c>
      <c r="D49" t="s">
        <v>23</v>
      </c>
      <c r="E49" t="s">
        <v>24</v>
      </c>
      <c r="F49">
        <v>400.61999511718699</v>
      </c>
      <c r="G49">
        <v>402.579986572265</v>
      </c>
      <c r="H49">
        <v>400.54999999999899</v>
      </c>
      <c r="I49">
        <v>2.6666666666666599</v>
      </c>
      <c r="J49">
        <f t="shared" si="0"/>
        <v>4.8804666089908039E-3</v>
      </c>
      <c r="K49">
        <f t="shared" si="1"/>
        <v>-1.7473224856815985E-4</v>
      </c>
      <c r="L49">
        <f t="shared" si="2"/>
        <v>5.0551988575589634E-3</v>
      </c>
    </row>
    <row r="50" spans="1:16" x14ac:dyDescent="0.2">
      <c r="O50" s="3" t="s">
        <v>17</v>
      </c>
      <c r="P50" s="3"/>
    </row>
    <row r="51" spans="1:16" x14ac:dyDescent="0.2">
      <c r="O51" t="s">
        <v>28</v>
      </c>
      <c r="P51">
        <f>COUNTIF($D$2:$D$49, "NVDAx")</f>
        <v>6</v>
      </c>
    </row>
    <row r="52" spans="1:16" x14ac:dyDescent="0.2">
      <c r="O52" t="s">
        <v>29</v>
      </c>
      <c r="P52">
        <f>AVERAGEIF($D$2:$D$49, "NVDAx", L$2:L$49) * 10000</f>
        <v>-43.859474020387253</v>
      </c>
    </row>
    <row r="53" spans="1:16" x14ac:dyDescent="0.2">
      <c r="O53" t="s">
        <v>30</v>
      </c>
      <c r="P53" cm="1">
        <f t="array" ref="P53">_xlfn.STDEV.S(IF($D$2:$D$49="NVDAx", L$2:L$49)) * 10000</f>
        <v>73.386916923198669</v>
      </c>
    </row>
    <row r="54" spans="1:16" x14ac:dyDescent="0.2">
      <c r="O54" t="s">
        <v>31</v>
      </c>
      <c r="P54">
        <f xml:space="preserve"> P52 / (P53 / SQRT(P51))</f>
        <v>-1.4639303058505051</v>
      </c>
    </row>
    <row r="55" spans="1:16" x14ac:dyDescent="0.2">
      <c r="O55" t="s">
        <v>32</v>
      </c>
      <c r="P55">
        <f>_xlfn.T.DIST.2T(ABS(P54), P51-1)</f>
        <v>0.20308978078282269</v>
      </c>
    </row>
    <row r="56" spans="1:16" x14ac:dyDescent="0.2">
      <c r="O56" t="s">
        <v>33</v>
      </c>
      <c r="P56">
        <f xml:space="preserve"> 1.96 * P53 / SQRT(P51)</f>
        <v>58.721763417566422</v>
      </c>
    </row>
  </sheetData>
  <mergeCells count="8">
    <mergeCell ref="O50:P50"/>
    <mergeCell ref="S2:T2"/>
    <mergeCell ref="O2:P2"/>
    <mergeCell ref="O10:P10"/>
    <mergeCell ref="O18:P18"/>
    <mergeCell ref="O26:P26"/>
    <mergeCell ref="O34:P34"/>
    <mergeCell ref="O42:P42"/>
  </mergeCells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v1_weekend_pairs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Noonan</dc:creator>
  <cp:lastModifiedBy>Adam Noonan</cp:lastModifiedBy>
  <dcterms:created xsi:type="dcterms:W3CDTF">2026-04-23T13:20:06Z</dcterms:created>
  <dcterms:modified xsi:type="dcterms:W3CDTF">2026-04-23T22:19:38Z</dcterms:modified>
</cp:coreProperties>
</file>